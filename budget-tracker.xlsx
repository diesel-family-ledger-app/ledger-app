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ummary" sheetId="2" state="visible" r:id="rId4"/>
    <sheet name="Pay" sheetId="3" state="visible" r:id="rId5"/>
    <sheet name="Lists" sheetId="4" state="hidden" r:id="rId6"/>
    <sheet name="Budg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<sst xmlns="http://schemas.openxmlformats.org/spreadsheetml/2006/main" count="63" uniqueCount="48">
  <si>
    <t xml:space="preserve">Family budget tracker</t>
  </si>
  <si>
    <t xml:space="preserve">This workbook is yours. It stays on your phone or computer until you upload it to the family ledger page.</t>
  </si>
  <si>
    <t xml:space="preserve">Setting it up (once)</t>
  </si>
  <si>
    <t xml:space="preserve">1. Pay sheet: type each person's name and monthly take-home pay (after tax) in the yellow cells. Up to four people.</t>
  </si>
  <si>
    <t xml:space="preserve">2. Budget sheet: type the first month you want to track in the yellow cell at the top (for example 1 Oct 2026). The next 12 months fill in by themselves.</t>
  </si>
  <si>
    <t xml:space="preserve">3. Budget sheet: one row per expense. Choose Needs, Wants or Savings, name it, choose who pays it, and type the planned monthly amount.</t>
  </si>
  <si>
    <t xml:space="preserve">   If you have a loan from the family, add a Needs line called Loan repayment with this month's amount from your statement.</t>
  </si>
  <si>
    <t xml:space="preserve">Every month</t>
  </si>
  <si>
    <t xml:space="preserve">4. Budget sheet: type what was actually spent in that month's column.</t>
  </si>
  <si>
    <t xml:space="preserve">5. Summary sheet: choose the month at the top to compare plan and actual spending with the 50/30/20 guide.</t>
  </si>
  <si>
    <t xml:space="preserve">Uploading to the family ledger</t>
  </si>
  <si>
    <t xml:space="preserve">6. Save the workbook. Open the family ledger page, go to Budget, and upload it. The file name doesn't matter.</t>
  </si>
  <si>
    <t xml:space="preserve">   The summary on the page updates within the hour. Always upload a workbook that has been saved in Excel (or Google Sheets), so its totals are calculated.</t>
  </si>
  <si>
    <t xml:space="preserve">Colours</t>
  </si>
  <si>
    <t xml:space="preserve">Blue text on a yellow background: cells you fill in. Black text: calculated for you; please don't type over it.</t>
  </si>
  <si>
    <t xml:space="preserve">Example of a Budget row (shown here only, not counted)</t>
  </si>
  <si>
    <t xml:space="preserve">Category</t>
  </si>
  <si>
    <t xml:space="preserve">Item</t>
  </si>
  <si>
    <t xml:space="preserve">Paid by</t>
  </si>
  <si>
    <t xml:space="preserve">Planned monthly</t>
  </si>
  <si>
    <t xml:space="preserve">Oct 2026 actual</t>
  </si>
  <si>
    <t xml:space="preserve">Needs</t>
  </si>
  <si>
    <t xml:space="preserve">Groceries</t>
  </si>
  <si>
    <t xml:space="preserve">Shared</t>
  </si>
  <si>
    <t xml:space="preserve">Summary</t>
  </si>
  <si>
    <t xml:space="preserve">Month</t>
  </si>
  <si>
    <t xml:space="preserve">Choose a month from the list.</t>
  </si>
  <si>
    <t xml:space="preserve">Take-home pay</t>
  </si>
  <si>
    <t xml:space="preserve">Planned</t>
  </si>
  <si>
    <t xml:space="preserve">Planned % of pay</t>
  </si>
  <si>
    <t xml:space="preserve">Actual</t>
  </si>
  <si>
    <t xml:space="preserve">Actual % of pay</t>
  </si>
  <si>
    <t xml:space="preserve">Guide</t>
  </si>
  <si>
    <t xml:space="preserve">Wants</t>
  </si>
  <si>
    <t xml:space="preserve">Savings</t>
  </si>
  <si>
    <t xml:space="preserve">Total</t>
  </si>
  <si>
    <t xml:space="preserve">Not yet planned</t>
  </si>
  <si>
    <t xml:space="preserve">Who pays</t>
  </si>
  <si>
    <t xml:space="preserve">Person</t>
  </si>
  <si>
    <t xml:space="preserve">Planned share</t>
  </si>
  <si>
    <t xml:space="preserve">Left over</t>
  </si>
  <si>
    <t xml:space="preserve">Shared lines are split equally between everyone named on the Pay sheet. Lines with no "Paid by" are not included.</t>
  </si>
  <si>
    <t xml:space="preserve">Who is in this budget</t>
  </si>
  <si>
    <t xml:space="preserve">Names and monthly take-home pay (after tax). Leave unused rows empty.</t>
  </si>
  <si>
    <t xml:space="preserve">Budget lines</t>
  </si>
  <si>
    <t xml:space="preserve">First month</t>
  </si>
  <si>
    <t xml:space="preserve">Type the first month to track; the month columns follow from it.</t>
  </si>
  <si>
    <t xml:space="preserve">Planned monthly amount in column D; what was actually spent each month from column 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</si>
</sst>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 &quot;#,##0;[RED]&quot;-R &quot;#,##0;\-"/>
    <numFmt numFmtId="166" formatCode="0.0%;\-0.0%;\-"/>
    <numFmt numFmtId="167" formatCode="0%"/>
    <numFmt numFmtId="168" formatCode="d\ mmm\ 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6675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9E302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BE2"/>
        <bgColor rgb="FFCADAD0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ADA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E30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ADA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B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75F"/>
      <rgbColor rgb="FF969696"/>
      <rgbColor rgb="FF003366"/>
      <rgbColor rgb="FF339966"/>
      <rgbColor rgb="FF003300"/>
      <rgbColor rgb="FF333300"/>
      <rgbColor rgb="FF9E302B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1</v>
      </c>
      <c r="B3" s="2"/>
      <c r="C3" s="2"/>
      <c r="D3" s="2"/>
      <c r="E3" s="2"/>
    </row>
    <row r="4" customFormat="false" ht="15" hidden="false" customHeight="false" outlineLevel="0" collapsed="false">
      <c r="A4" s="3"/>
      <c r="B4" s="2"/>
      <c r="C4" s="2"/>
      <c r="D4" s="2"/>
      <c r="E4" s="2"/>
    </row>
    <row r="5" customFormat="false" ht="15" hidden="false" customHeight="false" outlineLevel="0" collapsed="false">
      <c r="A5" s="4" t="s">
        <v>2</v>
      </c>
      <c r="B5" s="2"/>
      <c r="C5" s="2"/>
      <c r="D5" s="2"/>
      <c r="E5" s="2"/>
    </row>
    <row r="6" customFormat="false" ht="15" hidden="false" customHeight="false" outlineLevel="0" collapsed="false">
      <c r="A6" s="3" t="s">
        <v>3</v>
      </c>
      <c r="B6" s="2"/>
      <c r="C6" s="2"/>
      <c r="D6" s="2"/>
      <c r="E6" s="2"/>
    </row>
    <row r="7" customFormat="false" ht="15" hidden="false" customHeight="false" outlineLevel="0" collapsed="false">
      <c r="A7" s="3" t="s">
        <v>4</v>
      </c>
      <c r="B7" s="2"/>
      <c r="C7" s="2"/>
      <c r="D7" s="2"/>
      <c r="E7" s="2"/>
    </row>
    <row r="8" customFormat="false" ht="15" hidden="false" customHeight="false" outlineLevel="0" collapsed="false">
      <c r="A8" s="3" t="s">
        <v>5</v>
      </c>
      <c r="B8" s="2"/>
      <c r="C8" s="2"/>
      <c r="D8" s="2"/>
      <c r="E8" s="2"/>
    </row>
    <row r="9" customFormat="false" ht="15" hidden="false" customHeight="false" outlineLevel="0" collapsed="false">
      <c r="A9" s="3" t="s">
        <v>6</v>
      </c>
      <c r="B9" s="2"/>
      <c r="C9" s="2"/>
      <c r="D9" s="2"/>
      <c r="E9" s="2"/>
    </row>
    <row r="10" customFormat="false" ht="15" hidden="false" customHeight="false" outlineLevel="0" collapsed="false">
      <c r="A10" s="3"/>
      <c r="B10" s="2"/>
      <c r="C10" s="2"/>
      <c r="D10" s="2"/>
      <c r="E10" s="2"/>
    </row>
    <row r="11" customFormat="false" ht="15" hidden="false" customHeight="false" outlineLevel="0" collapsed="false">
      <c r="A11" s="4" t="s">
        <v>7</v>
      </c>
      <c r="B11" s="2"/>
      <c r="C11" s="2"/>
      <c r="D11" s="2"/>
      <c r="E11" s="2"/>
    </row>
    <row r="12" customFormat="false" ht="15" hidden="false" customHeight="false" outlineLevel="0" collapsed="false">
      <c r="A12" s="3" t="s">
        <v>8</v>
      </c>
      <c r="B12" s="2"/>
      <c r="C12" s="2"/>
      <c r="D12" s="2"/>
      <c r="E12" s="2"/>
    </row>
    <row r="13" customFormat="false" ht="15" hidden="false" customHeight="false" outlineLevel="0" collapsed="false">
      <c r="A13" s="3" t="s">
        <v>9</v>
      </c>
      <c r="B13" s="2"/>
      <c r="C13" s="2"/>
      <c r="D13" s="2"/>
      <c r="E13" s="2"/>
    </row>
    <row r="14" customFormat="false" ht="15" hidden="false" customHeight="false" outlineLevel="0" collapsed="false">
      <c r="A14" s="3"/>
      <c r="B14" s="2"/>
      <c r="C14" s="2"/>
      <c r="D14" s="2"/>
      <c r="E14" s="2"/>
    </row>
    <row r="15" customFormat="false" ht="15" hidden="false" customHeight="false" outlineLevel="0" collapsed="false">
      <c r="A15" s="4" t="s">
        <v>10</v>
      </c>
      <c r="B15" s="2"/>
      <c r="C15" s="2"/>
      <c r="D15" s="2"/>
      <c r="E15" s="2"/>
    </row>
    <row r="16" customFormat="false" ht="15" hidden="false" customHeight="false" outlineLevel="0" collapsed="false">
      <c r="A16" s="3" t="s">
        <v>11</v>
      </c>
      <c r="B16" s="2"/>
      <c r="C16" s="2"/>
      <c r="D16" s="2"/>
      <c r="E16" s="2"/>
    </row>
    <row r="17" customFormat="false" ht="15" hidden="false" customHeight="false" outlineLevel="0" collapsed="false">
      <c r="A17" s="3" t="s">
        <v>12</v>
      </c>
      <c r="B17" s="2"/>
      <c r="C17" s="2"/>
      <c r="D17" s="2"/>
      <c r="E17" s="2"/>
    </row>
    <row r="18" customFormat="false" ht="15" hidden="false" customHeight="false" outlineLevel="0" collapsed="false">
      <c r="A18" s="3"/>
      <c r="B18" s="2"/>
      <c r="C18" s="2"/>
      <c r="D18" s="2"/>
      <c r="E18" s="2"/>
    </row>
    <row r="19" customFormat="false" ht="15" hidden="false" customHeight="false" outlineLevel="0" collapsed="false">
      <c r="A19" s="4" t="s">
        <v>13</v>
      </c>
      <c r="B19" s="2"/>
      <c r="C19" s="2"/>
      <c r="D19" s="2"/>
      <c r="E19" s="2"/>
    </row>
    <row r="20" customFormat="false" ht="15" hidden="false" customHeight="false" outlineLevel="0" collapsed="false">
      <c r="A20" s="3" t="s">
        <v>14</v>
      </c>
      <c r="B20" s="2"/>
      <c r="C20" s="2"/>
      <c r="D20" s="2"/>
      <c r="E20" s="2"/>
    </row>
    <row r="21" customFormat="false" ht="15" hidden="false" customHeight="false" outlineLevel="0" collapsed="false">
      <c r="A21" s="3"/>
      <c r="B21" s="2"/>
      <c r="C21" s="2"/>
      <c r="D21" s="2"/>
      <c r="E21" s="2"/>
    </row>
    <row r="22" customFormat="false" ht="15" hidden="false" customHeight="false" outlineLevel="0" collapsed="false">
      <c r="A22" s="4" t="s">
        <v>15</v>
      </c>
      <c r="B22" s="2"/>
      <c r="C22" s="2"/>
      <c r="D22" s="2"/>
      <c r="E22" s="2"/>
    </row>
    <row r="23" customFormat="false" ht="15" hidden="false" customHeight="false" outlineLevel="0" collapsed="false">
      <c r="A23" s="5" t="s">
        <v>16</v>
      </c>
      <c r="B23" s="5" t="s">
        <v>17</v>
      </c>
      <c r="C23" s="5" t="s">
        <v>18</v>
      </c>
      <c r="D23" s="5" t="s">
        <v>19</v>
      </c>
      <c r="E23" s="5" t="s">
        <v>20</v>
      </c>
    </row>
    <row r="24" customFormat="false" ht="15" hidden="false" customHeight="false" outlineLevel="0" collapsed="false">
      <c r="A24" s="6" t="s">
        <v>21</v>
      </c>
      <c r="B24" s="6" t="s">
        <v>22</v>
      </c>
      <c r="C24" s="6" t="s">
        <v>23</v>
      </c>
      <c r="D24" s="7" t="n">
        <v>5800</v>
      </c>
      <c r="E24" s="7" t="n">
        <v>6150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7"/>
  </cols>
  <sheetData>
    <row r="1" customFormat="false" ht="17.35" hidden="false" customHeight="false" outlineLevel="0" collapsed="false">
      <c r="A1" s="1" t="s">
        <v>24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4" t="s">
        <v>25</v>
      </c>
      <c r="B3" s="8" t="str">
        <f aca="false">Budget!E5</f>
        <v>Oct 2026</v>
      </c>
      <c r="C3" s="6" t="s">
        <v>26</v>
      </c>
      <c r="D3" s="2"/>
      <c r="E3" s="2"/>
      <c r="F3" s="2"/>
    </row>
    <row r="4" customFormat="false" ht="15" hidden="false" customHeight="false" outlineLevel="0" collapsed="false">
      <c r="A4" s="4" t="s">
        <v>27</v>
      </c>
      <c r="B4" s="9" t="n">
        <f aca="false">Pay!B8</f>
        <v>0</v>
      </c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5" t="s">
        <v>16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</row>
    <row r="7" customFormat="false" ht="15" hidden="false" customHeight="false" outlineLevel="0" collapsed="false">
      <c r="A7" s="3" t="s">
        <v>21</v>
      </c>
      <c r="B7" s="9" t="n">
        <f aca="false">SUMIFS(Budget!$D$6:$D$65,Budget!$A$6:$A$65,A7)</f>
        <v>0</v>
      </c>
      <c r="C7" s="10" t="n">
        <f aca="false">IF($B$4&gt;0,B7/$B$4,0)</f>
        <v>0</v>
      </c>
      <c r="D7" s="9" t="n">
        <f aca="false">IFERROR(SUMIFS(INDEX(Budget!$E$6:$P$65,0,MATCH($B$3,Budget!$E$5:$P$5,0)),Budget!$A$6:$A$65,A7),0)</f>
        <v>0</v>
      </c>
      <c r="E7" s="10" t="n">
        <f aca="false">IF($B$4&gt;0,D7/$B$4,0)</f>
        <v>0</v>
      </c>
      <c r="F7" s="11" t="n">
        <v>0.5</v>
      </c>
    </row>
    <row r="8" customFormat="false" ht="15" hidden="false" customHeight="false" outlineLevel="0" collapsed="false">
      <c r="A8" s="3" t="s">
        <v>33</v>
      </c>
      <c r="B8" s="9" t="n">
        <f aca="false">SUMIFS(Budget!$D$6:$D$65,Budget!$A$6:$A$65,A8)</f>
        <v>0</v>
      </c>
      <c r="C8" s="10" t="n">
        <f aca="false">IF($B$4&gt;0,B8/$B$4,0)</f>
        <v>0</v>
      </c>
      <c r="D8" s="9" t="n">
        <f aca="false">IFERROR(SUMIFS(INDEX(Budget!$E$6:$P$65,0,MATCH($B$3,Budget!$E$5:$P$5,0)),Budget!$A$6:$A$65,A8),0)</f>
        <v>0</v>
      </c>
      <c r="E8" s="10" t="n">
        <f aca="false">IF($B$4&gt;0,D8/$B$4,0)</f>
        <v>0</v>
      </c>
      <c r="F8" s="11" t="n">
        <v>0.3</v>
      </c>
    </row>
    <row r="9" customFormat="false" ht="15" hidden="false" customHeight="false" outlineLevel="0" collapsed="false">
      <c r="A9" s="3" t="s">
        <v>34</v>
      </c>
      <c r="B9" s="9" t="n">
        <f aca="false">SUMIFS(Budget!$D$6:$D$65,Budget!$A$6:$A$65,A9)</f>
        <v>0</v>
      </c>
      <c r="C9" s="10" t="n">
        <f aca="false">IF($B$4&gt;0,B9/$B$4,0)</f>
        <v>0</v>
      </c>
      <c r="D9" s="9" t="n">
        <f aca="false">IFERROR(SUMIFS(INDEX(Budget!$E$6:$P$65,0,MATCH($B$3,Budget!$E$5:$P$5,0)),Budget!$A$6:$A$65,A9),0)</f>
        <v>0</v>
      </c>
      <c r="E9" s="10" t="n">
        <f aca="false">IF($B$4&gt;0,D9/$B$4,0)</f>
        <v>0</v>
      </c>
      <c r="F9" s="11" t="n">
        <v>0.2</v>
      </c>
    </row>
    <row r="10" customFormat="false" ht="15" hidden="false" customHeight="false" outlineLevel="0" collapsed="false">
      <c r="A10" s="4" t="s">
        <v>35</v>
      </c>
      <c r="B10" s="12" t="n">
        <f aca="false">SUM(B7:B9)</f>
        <v>0</v>
      </c>
      <c r="C10" s="13" t="n">
        <f aca="false">IF($B$4&gt;0,B10/$B$4,0)</f>
        <v>0</v>
      </c>
      <c r="D10" s="12" t="n">
        <f aca="false">SUM(D7:D9)</f>
        <v>0</v>
      </c>
      <c r="E10" s="13" t="n">
        <f aca="false">IF($B$4&gt;0,D10/$B$4,0)</f>
        <v>0</v>
      </c>
      <c r="F10" s="2"/>
    </row>
    <row r="11" customFormat="false" ht="15" hidden="false" customHeight="false" outlineLevel="0" collapsed="false">
      <c r="A11" s="3" t="s">
        <v>36</v>
      </c>
      <c r="B11" s="9" t="n">
        <f aca="false">B4-B10</f>
        <v>0</v>
      </c>
      <c r="C11" s="2"/>
      <c r="D11" s="2"/>
      <c r="E11" s="2"/>
      <c r="F11" s="2"/>
    </row>
    <row r="12" customFormat="false" ht="15" hidden="false" customHeight="false" outlineLevel="0" collapsed="false">
      <c r="A12" s="2"/>
      <c r="B12" s="2"/>
      <c r="C12" s="14" t="str">
        <f aca="false">IF(SUMPRODUCT((Budget!$A$6:$A$65="")*(Budget!$D$6:$D$65&gt;0))&gt;0,"Some planned amounts have no category and are not counted","")</f>
        <v/>
      </c>
      <c r="D12" s="2"/>
      <c r="E12" s="2"/>
      <c r="F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4" t="s">
        <v>37</v>
      </c>
      <c r="B14" s="2"/>
      <c r="C14" s="2"/>
      <c r="D14" s="2"/>
      <c r="E14" s="2"/>
      <c r="F14" s="2"/>
    </row>
    <row r="15" customFormat="false" ht="15" hidden="false" customHeight="false" outlineLevel="0" collapsed="false">
      <c r="A15" s="5" t="s">
        <v>38</v>
      </c>
      <c r="B15" s="5" t="s">
        <v>27</v>
      </c>
      <c r="C15" s="5" t="s">
        <v>39</v>
      </c>
      <c r="D15" s="5" t="s">
        <v>40</v>
      </c>
      <c r="E15" s="2"/>
      <c r="F15" s="2"/>
    </row>
    <row r="16" customFormat="false" ht="15" hidden="false" customHeight="false" outlineLevel="0" collapsed="false">
      <c r="A16" s="2" t="str">
        <f aca="false">IF(Pay!A4="","",Pay!A4)</f>
        <v/>
      </c>
      <c r="B16" s="9" t="str">
        <f aca="false">IF(A16="","",Pay!B4)</f>
        <v/>
      </c>
      <c r="C16" s="9" t="str">
        <f aca="false">IF(A16="","",SUMIFS(Budget!$D$6:$D$65,Budget!$C$6:$C$65,A16)+SUMIFS(Budget!$D$6:$D$65,Budget!$C$6:$C$65,"Shared")/MAX(1,COUNTIF(Pay!$A$4:$A$7,"?*")))</f>
        <v/>
      </c>
      <c r="D16" s="9" t="str">
        <f aca="false">IF(A16="","",B16-C16)</f>
        <v/>
      </c>
      <c r="E16" s="2"/>
      <c r="F16" s="2"/>
    </row>
    <row r="17" customFormat="false" ht="15" hidden="false" customHeight="false" outlineLevel="0" collapsed="false">
      <c r="A17" s="2" t="str">
        <f aca="false">IF(Pay!A5="","",Pay!A5)</f>
        <v/>
      </c>
      <c r="B17" s="9" t="str">
        <f aca="false">IF(A17="","",Pay!B5)</f>
        <v/>
      </c>
      <c r="C17" s="9" t="str">
        <f aca="false">IF(A17="","",SUMIFS(Budget!$D$6:$D$65,Budget!$C$6:$C$65,A17)+SUMIFS(Budget!$D$6:$D$65,Budget!$C$6:$C$65,"Shared")/MAX(1,COUNTIF(Pay!$A$4:$A$7,"?*")))</f>
        <v/>
      </c>
      <c r="D17" s="9" t="str">
        <f aca="false">IF(A17="","",B17-C17)</f>
        <v/>
      </c>
      <c r="E17" s="2"/>
      <c r="F17" s="2"/>
    </row>
    <row r="18" customFormat="false" ht="15" hidden="false" customHeight="false" outlineLevel="0" collapsed="false">
      <c r="A18" s="2" t="str">
        <f aca="false">IF(Pay!A6="","",Pay!A6)</f>
        <v/>
      </c>
      <c r="B18" s="9" t="str">
        <f aca="false">IF(A18="","",Pay!B6)</f>
        <v/>
      </c>
      <c r="C18" s="9" t="str">
        <f aca="false">IF(A18="","",SUMIFS(Budget!$D$6:$D$65,Budget!$C$6:$C$65,A18)+SUMIFS(Budget!$D$6:$D$65,Budget!$C$6:$C$65,"Shared")/MAX(1,COUNTIF(Pay!$A$4:$A$7,"?*")))</f>
        <v/>
      </c>
      <c r="D18" s="9" t="str">
        <f aca="false">IF(A18="","",B18-C18)</f>
        <v/>
      </c>
      <c r="E18" s="2"/>
      <c r="F18" s="2"/>
    </row>
    <row r="19" customFormat="false" ht="15" hidden="false" customHeight="false" outlineLevel="0" collapsed="false">
      <c r="A19" s="2" t="str">
        <f aca="false">IF(Pay!A7="","",Pay!A7)</f>
        <v/>
      </c>
      <c r="B19" s="9" t="str">
        <f aca="false">IF(A19="","",Pay!B7)</f>
        <v/>
      </c>
      <c r="C19" s="9" t="str">
        <f aca="false">IF(A19="","",SUMIFS(Budget!$D$6:$D$65,Budget!$C$6:$C$65,A19)+SUMIFS(Budget!$D$6:$D$65,Budget!$C$6:$C$65,"Shared")/MAX(1,COUNTIF(Pay!$A$4:$A$7,"?*")))</f>
        <v/>
      </c>
      <c r="D19" s="9" t="str">
        <f aca="false">IF(A19="","",B19-C19)</f>
        <v/>
      </c>
      <c r="E19" s="2"/>
      <c r="F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6" t="s">
        <v>41</v>
      </c>
      <c r="B21" s="2"/>
      <c r="C21" s="2"/>
      <c r="D21" s="2"/>
      <c r="E21" s="2"/>
      <c r="F21" s="2"/>
    </row>
  </sheetData>
  <conditionalFormatting sqref="E7:E8">
    <cfRule type="expression" priority="2" aboveAverage="0" equalAverage="0" bottom="0" percent="0" rank="0" text="" dxfId="0">
      <formula>E7&gt;F7</formula>
    </cfRule>
  </conditionalFormatting>
  <conditionalFormatting sqref="B11">
    <cfRule type="cellIs" priority="3" operator="lessThan" aboveAverage="0" equalAverage="0" bottom="0" percent="0" rank="0" text="" dxfId="0">
      <formula>0</formula>
    </cfRule>
  </conditionalFormatting>
  <conditionalFormatting sqref="D16:D19">
    <cfRule type="cellIs" priority="4" operator="lessThan" aboveAverage="0" equalAverage="0" bottom="0" percent="0" rank="0" text="" dxfId="0">
      <formula>0</formula>
    </cfRule>
  </conditionalFormatting>
  <dataValidations count="1">
    <dataValidation allowBlank="false" error="Choose a month from the list" errorStyle="stop" errorTitle="Month" operator="between" showDropDown="false" showErrorMessage="true" showInputMessage="false" sqref="B3" type="list">
      <formula1>Budget!$E$5:$P$5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42</v>
      </c>
      <c r="B1" s="2"/>
    </row>
    <row r="2" customFormat="false" ht="15" hidden="false" customHeight="false" outlineLevel="0" collapsed="false">
      <c r="A2" s="6" t="s">
        <v>43</v>
      </c>
      <c r="B2" s="2"/>
    </row>
    <row r="3" customFormat="false" ht="15" hidden="false" customHeight="false" outlineLevel="0" collapsed="false">
      <c r="A3" s="5" t="s">
        <v>38</v>
      </c>
      <c r="B3" s="5" t="s">
        <v>27</v>
      </c>
    </row>
    <row r="4" customFormat="false" ht="15" hidden="false" customHeight="false" outlineLevel="0" collapsed="false">
      <c r="A4" s="15"/>
      <c r="B4" s="16"/>
    </row>
    <row r="5" customFormat="false" ht="15" hidden="false" customHeight="false" outlineLevel="0" collapsed="false">
      <c r="A5" s="15"/>
      <c r="B5" s="16"/>
    </row>
    <row r="6" customFormat="false" ht="15" hidden="false" customHeight="false" outlineLevel="0" collapsed="false">
      <c r="A6" s="15"/>
      <c r="B6" s="16"/>
    </row>
    <row r="7" customFormat="false" ht="15" hidden="false" customHeight="false" outlineLevel="0" collapsed="false">
      <c r="A7" s="15"/>
      <c r="B7" s="16"/>
    </row>
    <row r="8" customFormat="false" ht="15" hidden="false" customHeight="false" outlineLevel="0" collapsed="false">
      <c r="A8" s="4" t="s">
        <v>35</v>
      </c>
      <c r="B8" s="12" t="n">
        <f aca="false">SUM(B4:B7)</f>
        <v>0</v>
      </c>
    </row>
  </sheetData>
  <dataValidations count="1">
    <dataValidation allowBlank="true" error="Type an amount of 0 or more" errorStyle="stop" errorTitle="Pay" operator="greaterThanOrEqual" showDropDown="false" showErrorMessage="true" showInputMessage="false" sqref="B4:B7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23</v>
      </c>
      <c r="B1" s="2" t="s">
        <v>21</v>
      </c>
    </row>
    <row r="2" customFormat="false" ht="15" hidden="false" customHeight="false" outlineLevel="0" collapsed="false">
      <c r="A2" s="2" t="str">
        <f aca="false">IF(Pay!A4="","",Pay!A4)</f>
        <v/>
      </c>
      <c r="B2" s="2" t="s">
        <v>33</v>
      </c>
    </row>
    <row r="3" customFormat="false" ht="15" hidden="false" customHeight="false" outlineLevel="0" collapsed="false">
      <c r="A3" s="2" t="str">
        <f aca="false">IF(Pay!A5="","",Pay!A5)</f>
        <v/>
      </c>
      <c r="B3" s="2" t="s">
        <v>34</v>
      </c>
    </row>
    <row r="4" customFormat="false" ht="15" hidden="false" customHeight="false" outlineLevel="0" collapsed="false">
      <c r="A4" s="2" t="str">
        <f aca="false">IF(Pay!A6="","",Pay!A6)</f>
        <v/>
      </c>
      <c r="B4" s="2"/>
    </row>
    <row r="5" customFormat="false" ht="15" hidden="false" customHeight="false" outlineLevel="0" collapsed="false">
      <c r="A5" s="2" t="str">
        <f aca="false">IF(Pay!A7="","",Pay!A7)</f>
        <v/>
      </c>
      <c r="B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16" min="5" style="0" width="12"/>
  </cols>
  <sheetData>
    <row r="1" customFormat="false" ht="17.35" hidden="false" customHeight="false" outlineLevel="0" collapsed="false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4" t="s">
        <v>45</v>
      </c>
      <c r="B2" s="17" t="n">
        <v>46296</v>
      </c>
      <c r="C2" s="6" t="s">
        <v>46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6" t="s">
        <v>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5" t="s">
        <v>16</v>
      </c>
      <c r="B5" s="5" t="s">
        <v>17</v>
      </c>
      <c r="C5" s="5" t="s">
        <v>18</v>
      </c>
      <c r="D5" s="5" t="s">
        <v>19</v>
      </c>
      <c r="E5" s="18" t="str">
        <f aca="false">TEXT(EDATE($B$2,0),"mmm yyyy")</f>
        <v>Oct 2026</v>
      </c>
      <c r="F5" s="18" t="str">
        <f aca="false">TEXT(EDATE($B$2,1),"mmm yyyy")</f>
        <v>Nov 2026</v>
      </c>
      <c r="G5" s="18" t="str">
        <f aca="false">TEXT(EDATE($B$2,2),"mmm yyyy")</f>
        <v>Dec 2026</v>
      </c>
      <c r="H5" s="18" t="str">
        <f aca="false">TEXT(EDATE($B$2,3),"mmm yyyy")</f>
        <v>Jan 2027</v>
      </c>
      <c r="I5" s="18" t="str">
        <f aca="false">TEXT(EDATE($B$2,4),"mmm yyyy")</f>
        <v>Feb 2027</v>
      </c>
      <c r="J5" s="18" t="str">
        <f aca="false">TEXT(EDATE($B$2,5),"mmm yyyy")</f>
        <v>Mar 2027</v>
      </c>
      <c r="K5" s="18" t="str">
        <f aca="false">TEXT(EDATE($B$2,6),"mmm yyyy")</f>
        <v>Apr 2027</v>
      </c>
      <c r="L5" s="18" t="str">
        <f aca="false">TEXT(EDATE($B$2,7),"mmm yyyy")</f>
        <v>May 2027</v>
      </c>
      <c r="M5" s="18" t="str">
        <f aca="false">TEXT(EDATE($B$2,8),"mmm yyyy")</f>
        <v>Jun 2027</v>
      </c>
      <c r="N5" s="18" t="str">
        <f aca="false">TEXT(EDATE($B$2,9),"mmm yyyy")</f>
        <v>Jul 2027</v>
      </c>
      <c r="O5" s="18" t="str">
        <f aca="false">TEXT(EDATE($B$2,10),"mmm yyyy")</f>
        <v>Aug 2027</v>
      </c>
      <c r="P5" s="18" t="str">
        <f aca="false">TEXT(EDATE($B$2,11),"mmm yyyy")</f>
        <v>Sep 2027</v>
      </c>
    </row>
    <row r="6" customFormat="false" ht="15" hidden="false" customHeight="false" outlineLevel="0" collapsed="false">
      <c r="A6" s="15"/>
      <c r="B6" s="15"/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customFormat="false" ht="15" hidden="false" customHeight="false" outlineLevel="0" collapsed="false">
      <c r="A7" s="15"/>
      <c r="B7" s="15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customFormat="false" ht="15" hidden="false" customHeight="false" outlineLevel="0" collapsed="false">
      <c r="A8" s="15"/>
      <c r="B8" s="15"/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customFormat="false" ht="15" hidden="false" customHeight="false" outlineLevel="0" collapsed="false">
      <c r="A9" s="15"/>
      <c r="B9" s="15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customFormat="false" ht="15" hidden="false" customHeight="false" outlineLevel="0" collapsed="false">
      <c r="A10" s="15"/>
      <c r="B10" s="15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customFormat="false" ht="15" hidden="false" customHeight="false" outlineLevel="0" collapsed="false">
      <c r="A11" s="15"/>
      <c r="B11" s="15"/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customFormat="false" ht="15" hidden="false" customHeight="false" outlineLevel="0" collapsed="false">
      <c r="A12" s="15"/>
      <c r="B12" s="15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customFormat="false" ht="15" hidden="false" customHeight="false" outlineLevel="0" collapsed="false">
      <c r="A13" s="15"/>
      <c r="B13" s="15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customFormat="false" ht="15" hidden="false" customHeight="false" outlineLevel="0" collapsed="false">
      <c r="A14" s="15"/>
      <c r="B14" s="15"/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customFormat="false" ht="15" hidden="false" customHeight="false" outlineLevel="0" collapsed="false">
      <c r="A15" s="15"/>
      <c r="B15" s="15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customFormat="false" ht="15" hidden="false" customHeight="false" outlineLevel="0" collapsed="false">
      <c r="A16" s="15"/>
      <c r="B16" s="15"/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customFormat="false" ht="15" hidden="false" customHeight="false" outlineLevel="0" collapsed="false">
      <c r="A17" s="15"/>
      <c r="B17" s="15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customFormat="false" ht="15" hidden="false" customHeight="false" outlineLevel="0" collapsed="false">
      <c r="A18" s="15"/>
      <c r="B18" s="15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customFormat="false" ht="15" hidden="false" customHeight="false" outlineLevel="0" collapsed="false">
      <c r="A19" s="15"/>
      <c r="B19" s="15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customFormat="false" ht="15" hidden="false" customHeight="false" outlineLevel="0" collapsed="false">
      <c r="A20" s="15"/>
      <c r="B20" s="15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customFormat="false" ht="15" hidden="false" customHeight="false" outlineLevel="0" collapsed="false">
      <c r="A21" s="15"/>
      <c r="B21" s="15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customFormat="false" ht="15" hidden="false" customHeight="false" outlineLevel="0" collapsed="false">
      <c r="A22" s="15"/>
      <c r="B22" s="15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customFormat="false" ht="15" hidden="false" customHeight="false" outlineLevel="0" collapsed="false">
      <c r="A23" s="15"/>
      <c r="B23" s="15"/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customFormat="false" ht="15" hidden="false" customHeight="false" outlineLevel="0" collapsed="false">
      <c r="A24" s="15"/>
      <c r="B24" s="15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customFormat="false" ht="15" hidden="false" customHeight="false" outlineLevel="0" collapsed="false">
      <c r="A25" s="15"/>
      <c r="B25" s="15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customFormat="false" ht="15" hidden="false" customHeight="false" outlineLevel="0" collapsed="false">
      <c r="A26" s="15"/>
      <c r="B26" s="15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customFormat="false" ht="15" hidden="false" customHeight="false" outlineLevel="0" collapsed="false">
      <c r="A27" s="15"/>
      <c r="B27" s="15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customFormat="false" ht="15" hidden="false" customHeight="false" outlineLevel="0" collapsed="false">
      <c r="A28" s="15"/>
      <c r="B28" s="15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customFormat="false" ht="15" hidden="false" customHeight="false" outlineLevel="0" collapsed="false">
      <c r="A29" s="15"/>
      <c r="B29" s="15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customFormat="false" ht="15" hidden="false" customHeight="false" outlineLevel="0" collapsed="false">
      <c r="A30" s="15"/>
      <c r="B30" s="15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customFormat="false" ht="15" hidden="false" customHeight="false" outlineLevel="0" collapsed="false">
      <c r="A31" s="15"/>
      <c r="B31" s="15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customFormat="false" ht="15" hidden="false" customHeight="false" outlineLevel="0" collapsed="false">
      <c r="A32" s="15"/>
      <c r="B32" s="15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customFormat="false" ht="15" hidden="false" customHeight="false" outlineLevel="0" collapsed="false">
      <c r="A33" s="15"/>
      <c r="B33" s="15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customFormat="false" ht="15" hidden="false" customHeight="false" outlineLevel="0" collapsed="false">
      <c r="A34" s="15"/>
      <c r="B34" s="15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customFormat="false" ht="15" hidden="false" customHeight="false" outlineLevel="0" collapsed="false">
      <c r="A35" s="15"/>
      <c r="B35" s="15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customFormat="false" ht="15" hidden="false" customHeight="false" outlineLevel="0" collapsed="false">
      <c r="A36" s="15"/>
      <c r="B36" s="15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customFormat="false" ht="15" hidden="false" customHeight="false" outlineLevel="0" collapsed="false">
      <c r="A37" s="15"/>
      <c r="B37" s="15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customFormat="false" ht="15" hidden="false" customHeight="false" outlineLevel="0" collapsed="false">
      <c r="A38" s="15"/>
      <c r="B38" s="15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customFormat="false" ht="15" hidden="false" customHeight="false" outlineLevel="0" collapsed="false">
      <c r="A39" s="15"/>
      <c r="B39" s="15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customFormat="false" ht="15" hidden="false" customHeight="false" outlineLevel="0" collapsed="false">
      <c r="A40" s="15"/>
      <c r="B40" s="15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customFormat="false" ht="15" hidden="false" customHeight="false" outlineLevel="0" collapsed="false">
      <c r="A41" s="15"/>
      <c r="B41" s="15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customFormat="false" ht="15" hidden="false" customHeight="false" outlineLevel="0" collapsed="false">
      <c r="A42" s="15"/>
      <c r="B42" s="15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 customFormat="false" ht="15" hidden="false" customHeight="false" outlineLevel="0" collapsed="false">
      <c r="A43" s="15"/>
      <c r="B43" s="15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customFormat="false" ht="15" hidden="false" customHeight="false" outlineLevel="0" collapsed="false">
      <c r="A44" s="15"/>
      <c r="B44" s="15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customFormat="false" ht="15" hidden="false" customHeight="false" outlineLevel="0" collapsed="false">
      <c r="A45" s="15"/>
      <c r="B45" s="15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customFormat="false" ht="15" hidden="false" customHeight="false" outlineLevel="0" collapsed="false">
      <c r="A46" s="15"/>
      <c r="B46" s="15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 customFormat="false" ht="15" hidden="false" customHeight="false" outlineLevel="0" collapsed="false">
      <c r="A47" s="15"/>
      <c r="B47" s="15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customFormat="false" ht="15" hidden="false" customHeight="false" outlineLevel="0" collapsed="false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customFormat="false" ht="15" hidden="false" customHeight="false" outlineLevel="0" collapsed="false">
      <c r="A49" s="15"/>
      <c r="B49" s="15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customFormat="false" ht="15" hidden="false" customHeight="false" outlineLevel="0" collapsed="false">
      <c r="A50" s="15"/>
      <c r="B50" s="15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customFormat="false" ht="15" hidden="false" customHeight="false" outlineLevel="0" collapsed="false">
      <c r="A51" s="15"/>
      <c r="B51" s="15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 customFormat="false" ht="15" hidden="false" customHeight="false" outlineLevel="0" collapsed="false">
      <c r="A52" s="15"/>
      <c r="B52" s="15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 customFormat="false" ht="15" hidden="false" customHeight="false" outlineLevel="0" collapsed="false">
      <c r="A53" s="15"/>
      <c r="B53" s="15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customFormat="false" ht="15" hidden="false" customHeight="false" outlineLevel="0" collapsed="false">
      <c r="A54" s="15"/>
      <c r="B54" s="15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customFormat="false" ht="15" hidden="false" customHeight="false" outlineLevel="0" collapsed="false">
      <c r="A55" s="15"/>
      <c r="B55" s="15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  <row r="56" customFormat="false" ht="15" hidden="false" customHeight="false" outlineLevel="0" collapsed="false">
      <c r="A56" s="15"/>
      <c r="B56" s="15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 customFormat="false" ht="15" hidden="false" customHeight="false" outlineLevel="0" collapsed="false">
      <c r="A57" s="15"/>
      <c r="B57" s="15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</row>
    <row r="58" customFormat="false" ht="15" hidden="false" customHeight="false" outlineLevel="0" collapsed="false">
      <c r="A58" s="15"/>
      <c r="B58" s="15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</row>
    <row r="59" customFormat="false" ht="15" hidden="false" customHeight="false" outlineLevel="0" collapsed="false">
      <c r="A59" s="15"/>
      <c r="B59" s="15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 customFormat="false" ht="15" hidden="false" customHeight="false" outlineLevel="0" collapsed="false">
      <c r="A60" s="15"/>
      <c r="B60" s="15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 customFormat="false" ht="15" hidden="false" customHeight="false" outlineLevel="0" collapsed="false">
      <c r="A61" s="15"/>
      <c r="B61" s="15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</row>
    <row r="62" customFormat="false" ht="15" hidden="false" customHeight="false" outlineLevel="0" collapsed="false">
      <c r="A62" s="15"/>
      <c r="B62" s="15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customFormat="false" ht="15" hidden="false" customHeight="false" outlineLevel="0" collapsed="false">
      <c r="A63" s="15"/>
      <c r="B63" s="15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customFormat="false" ht="15" hidden="false" customHeight="false" outlineLevel="0" collapsed="false">
      <c r="A64" s="15"/>
      <c r="B64" s="15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customFormat="false" ht="15" hidden="false" customHeight="false" outlineLevel="0" collapsed="false">
      <c r="A65" s="15"/>
      <c r="B65" s="15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customFormat="false" ht="15" hidden="false" customHeight="false" outlineLevel="0" collapsed="false">
      <c r="A66" s="2"/>
      <c r="B66" s="4" t="s">
        <v>35</v>
      </c>
      <c r="C66" s="2"/>
      <c r="D66" s="12" t="n">
        <f aca="false">SUM(D6:D65)</f>
        <v>0</v>
      </c>
      <c r="E66" s="12" t="n">
        <f aca="false">SUM(E6:E65)</f>
        <v>0</v>
      </c>
      <c r="F66" s="12" t="n">
        <f aca="false">SUM(F6:F65)</f>
        <v>0</v>
      </c>
      <c r="G66" s="12" t="n">
        <f aca="false">SUM(G6:G65)</f>
        <v>0</v>
      </c>
      <c r="H66" s="12" t="n">
        <f aca="false">SUM(H6:H65)</f>
        <v>0</v>
      </c>
      <c r="I66" s="12" t="n">
        <f aca="false">SUM(I6:I65)</f>
        <v>0</v>
      </c>
      <c r="J66" s="12" t="n">
        <f aca="false">SUM(J6:J65)</f>
        <v>0</v>
      </c>
      <c r="K66" s="12" t="n">
        <f aca="false">SUM(K6:K65)</f>
        <v>0</v>
      </c>
      <c r="L66" s="12" t="n">
        <f aca="false">SUM(L6:L65)</f>
        <v>0</v>
      </c>
      <c r="M66" s="12" t="n">
        <f aca="false">SUM(M6:M65)</f>
        <v>0</v>
      </c>
      <c r="N66" s="12" t="n">
        <f aca="false">SUM(N6:N65)</f>
        <v>0</v>
      </c>
      <c r="O66" s="12" t="n">
        <f aca="false">SUM(O6:O65)</f>
        <v>0</v>
      </c>
      <c r="P66" s="12" t="n">
        <f aca="false">SUM(P6:P65)</f>
        <v>0</v>
      </c>
    </row>
  </sheetData>
  <dataValidations count="4">
    <dataValidation allowBlank="true" error="Choose Needs, Wants or Savings" errorStyle="stop" errorTitle="Category" operator="between" showDropDown="false" showErrorMessage="true" showInputMessage="false" sqref="A6:A65" type="list">
      <formula1>Lists!$B$1:$B$3</formula1>
      <formula2>0</formula2>
    </dataValidation>
    <dataValidation allowBlank="true" error="Choose a person from the Pay sheet, or Shared" errorStyle="stop" errorTitle="Paid by" operator="between" showDropDown="false" showErrorMessage="true" showInputMessage="false" sqref="C6:C65" type="list">
      <formula1>Lists!$A$1:$A$5</formula1>
      <formula2>0</formula2>
    </dataValidation>
    <dataValidation allowBlank="true" error="Type an amount of 0 or more" errorStyle="stop" errorTitle="Amount" operator="greaterThanOrEqual" showDropDown="false" showErrorMessage="true" showInputMessage="false" sqref="D6:P65" type="decimal">
      <formula1>0</formula1>
      <formula2>0</formula2>
    </dataValidation>
    <dataValidation allowBlank="false" error="Type a date, for example 1 Oct 2026" errorStyle="stop" errorTitle="First month" operator="greaterThan" showDropDown="false" showErrorMessage="true" showInputMessage="false" sqref="B2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A116BA522BD4B960BA4FD2BE87775" ma:contentTypeVersion="19" ma:contentTypeDescription="Create a new document." ma:contentTypeScope="" ma:versionID="1bc6b445c43c6050cb3dd367959a6829">
  <xsd:schema xmlns:xsd="http://www.w3.org/2001/XMLSchema" xmlns:xs="http://www.w3.org/2001/XMLSchema" xmlns:p="http://schemas.microsoft.com/office/2006/metadata/properties" xmlns:ns2="9d5e2e01-1f06-470c-8a5e-ac0bedfa4436" xmlns:ns3="156de604-2886-49a0-9b8b-8dcfe23baeb5" targetNamespace="http://schemas.microsoft.com/office/2006/metadata/properties" ma:root="true" ma:fieldsID="c5f951d1bbbf266a7d00334db235c2a8" ns2:_="" ns3:_="">
    <xsd:import namespace="9d5e2e01-1f06-470c-8a5e-ac0bedfa4436"/>
    <xsd:import namespace="156de604-2886-49a0-9b8b-8dcfe23ba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5e2e01-1f06-470c-8a5e-ac0bedfa4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7c63f68-7f6d-4823-928e-8401a0e908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de604-2886-49a0-9b8b-8dcfe23baeb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88cafab-ba51-4526-a297-a7bfb982c31c}" ma:internalName="TaxCatchAll" ma:showField="CatchAllData" ma:web="156de604-2886-49a0-9b8b-8dcfe23bae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5e2e01-1f06-470c-8a5e-ac0bedfa4436">
      <Terms xmlns="http://schemas.microsoft.com/office/infopath/2007/PartnerControls"/>
    </lcf76f155ced4ddcb4097134ff3c332f>
    <TaxCatchAll xmlns="156de604-2886-49a0-9b8b-8dcfe23baeb5" xsi:nil="true"/>
  </documentManagement>
</p:properties>
</file>

<file path=customXml/itemProps1.xml><?xml version="1.0" encoding="utf-8"?>
<ds:datastoreItem xmlns:ds="http://schemas.openxmlformats.org/officeDocument/2006/customXml" ds:itemID="{96A61A8F-986B-4F4B-83DB-96664C5014F6}"/>
</file>

<file path=customXml/itemProps2.xml><?xml version="1.0" encoding="utf-8"?>
<ds:datastoreItem xmlns:ds="http://schemas.openxmlformats.org/officeDocument/2006/customXml" ds:itemID="{79D2847C-0B6B-4E6B-8840-D97F3B09A6C3}"/>
</file>

<file path=customXml/itemProps3.xml><?xml version="1.0" encoding="utf-8"?>
<ds:datastoreItem xmlns:ds="http://schemas.openxmlformats.org/officeDocument/2006/customXml" ds:itemID="{5764ED77-A761-465A-B90E-28BB901F341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2026-09-21T09:31:30Z</dcterms:created>
  <dcterms:modified xsi:type="dcterms:W3CDTF">2026-09-21T09:31:30Z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0x010100BE6A116BA522BD4B960BA4FD2BE87775</vt:lpwstr>
  </property>
</Properties>
</file>